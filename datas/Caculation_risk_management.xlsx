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ort_long_exce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<sst xmlns="http://schemas.openxmlformats.org/spreadsheetml/2006/main" count="41" uniqueCount="34">
  <si>
    <t xml:space="preserve">Total</t>
  </si>
  <si>
    <t xml:space="preserve">Maximum Capital to use in any stock</t>
  </si>
  <si>
    <t xml:space="preserve">Currently using 10% of capital. But in future need to reduce to 3-4%</t>
  </si>
  <si>
    <t xml:space="preserve">Risk Per Day</t>
  </si>
  <si>
    <t xml:space="preserve">1% of Capital</t>
  </si>
  <si>
    <t xml:space="preserve">Risk Per Trade</t>
  </si>
  <si>
    <t xml:space="preserve">Take 4 Trades Maximum in a Day</t>
  </si>
  <si>
    <t xml:space="preserve">Risk to buy qty per trade</t>
  </si>
  <si>
    <t xml:space="preserve">As 50 is brokerage per trade</t>
  </si>
  <si>
    <t xml:space="preserve">Max Capital Per Trade</t>
  </si>
  <si>
    <t xml:space="preserve">Max Loss Per Trade</t>
  </si>
  <si>
    <t xml:space="preserve">Buy Price</t>
  </si>
  <si>
    <t xml:space="preserve">Number of shares</t>
  </si>
  <si>
    <t xml:space="preserve">Stop Loss</t>
  </si>
  <si>
    <t xml:space="preserve">Loss Risk</t>
  </si>
  <si>
    <t xml:space="preserve">Overall Loss</t>
  </si>
  <si>
    <t xml:space="preserve">Stop Loss Price</t>
  </si>
  <si>
    <t xml:space="preserve">Loss per qty</t>
  </si>
  <si>
    <t xml:space="preserve">Overall loss to buy qty</t>
  </si>
  <si>
    <t xml:space="preserve">Qty to Buy</t>
  </si>
  <si>
    <t xml:space="preserve">Profit Expecetd with 1:2 Risk:Reward</t>
  </si>
  <si>
    <t xml:space="preserve">Total Loss in 1 trade</t>
  </si>
  <si>
    <t xml:space="preserve">For Short</t>
  </si>
  <si>
    <t xml:space="preserve">For Long</t>
  </si>
  <si>
    <t xml:space="preserve">Actual</t>
  </si>
  <si>
    <t xml:space="preserve">Loss expected</t>
  </si>
  <si>
    <t xml:space="preserve">% </t>
  </si>
  <si>
    <t xml:space="preserve">Entry</t>
  </si>
  <si>
    <t xml:space="preserve">Stoploss</t>
  </si>
  <si>
    <t xml:space="preserve">Loss per share</t>
  </si>
  <si>
    <t xml:space="preserve">Total share available to buy</t>
  </si>
  <si>
    <t xml:space="preserve">Total amount required</t>
  </si>
  <si>
    <t xml:space="preserve">If Intraday then amt required</t>
  </si>
  <si>
    <r>
      <rPr>
        <b val="true"/>
        <sz val="11"/>
        <color theme="1"/>
        <rFont val="Calibri"/>
        <family val="2"/>
        <charset val="1"/>
      </rPr>
      <t xml:space="preserve">Expected 1</t>
    </r>
    <r>
      <rPr>
        <b val="true"/>
        <vertAlign val="superscript"/>
        <sz val="11"/>
        <color theme="1"/>
        <rFont val="Calibri"/>
        <family val="2"/>
        <charset val="1"/>
      </rPr>
      <t xml:space="preserve">st</t>
    </r>
    <r>
      <rPr>
        <b val="true"/>
        <sz val="11"/>
        <color theme="1"/>
        <rFont val="Calibri"/>
        <family val="2"/>
        <charset val="1"/>
      </rPr>
      <t xml:space="preserve"> Target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</si>
</sst>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vertAlign val="superscript"/>
      <sz val="11"/>
      <color theme="1"/>
      <name val="Calibri"/>
      <family val="2"/>
      <charset val="1"/>
    </font>
    <font>
      <b val="true"/>
      <sz val="11"/>
      <color rgb="FFFF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FFFFFF"/>
        <bgColor rgb="FFFFFFCC"/>
      </patternFill>
    </fill>
    <fill>
      <patternFill patternType="solid">
        <fgColor rgb="FF729FCF"/>
        <bgColor rgb="FF999999"/>
      </patternFill>
    </fill>
    <fill>
      <patternFill patternType="solid">
        <fgColor rgb="FFB2B2B2"/>
        <bgColor rgb="FF999999"/>
      </patternFill>
    </fill>
    <fill>
      <patternFill patternType="solid">
        <fgColor rgb="FF999999"/>
        <bgColor rgb="FFB2B2B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33.07"/>
    <col collapsed="false" customWidth="true" hidden="false" outlineLevel="0" max="2" min="2" style="1" width="23.63"/>
    <col collapsed="false" customWidth="true" hidden="false" outlineLevel="0" max="3" min="3" style="1" width="10.73"/>
    <col collapsed="false" customWidth="true" hidden="false" outlineLevel="0" max="4" min="4" style="1" width="20.38"/>
    <col collapsed="false" customWidth="true" hidden="false" outlineLevel="0" max="5" min="5" style="1" width="11.7"/>
    <col collapsed="false" customWidth="true" hidden="false" outlineLevel="0" max="6" min="6" style="1" width="24.83"/>
    <col collapsed="false" customWidth="true" hidden="false" outlineLevel="0" max="7" min="7" style="1" width="22.01"/>
    <col collapsed="false" customWidth="true" hidden="false" outlineLevel="0" max="16384" min="16384" style="1" width="11.53"/>
  </cols>
  <sheetData>
    <row r="1" customFormat="false" ht="15" hidden="false" customHeight="false" outlineLevel="0" collapsed="false">
      <c r="A1" s="2" t="s">
        <v>0</v>
      </c>
      <c r="B1" s="3" t="n">
        <v>100000</v>
      </c>
      <c r="C1" s="3"/>
      <c r="D1" s="3"/>
      <c r="E1" s="3"/>
      <c r="F1" s="3"/>
      <c r="G1" s="4"/>
    </row>
    <row r="2" customFormat="false" ht="15" hidden="false" customHeight="false" outlineLevel="0" collapsed="false">
      <c r="A2" s="2" t="s">
        <v>1</v>
      </c>
      <c r="B2" s="3" t="n">
        <f aca="false">(10/100)*B1</f>
        <v>10000</v>
      </c>
      <c r="C2" s="3" t="s">
        <v>2</v>
      </c>
      <c r="D2" s="3"/>
      <c r="E2" s="3"/>
      <c r="F2" s="3"/>
      <c r="G2" s="4"/>
    </row>
    <row r="3" customFormat="false" ht="15" hidden="false" customHeight="false" outlineLevel="0" collapsed="false">
      <c r="A3" s="2" t="s">
        <v>3</v>
      </c>
      <c r="B3" s="3" t="n">
        <f aca="false">(1/100)*B1</f>
        <v>1000</v>
      </c>
      <c r="C3" s="3" t="s">
        <v>4</v>
      </c>
      <c r="D3" s="3"/>
      <c r="E3" s="3"/>
      <c r="F3" s="3"/>
      <c r="G3" s="4"/>
    </row>
    <row r="4" customFormat="false" ht="15" hidden="false" customHeight="false" outlineLevel="0" collapsed="false">
      <c r="A4" s="2" t="s">
        <v>5</v>
      </c>
      <c r="B4" s="3" t="n">
        <f aca="false">B3/4</f>
        <v>250</v>
      </c>
      <c r="C4" s="3" t="s">
        <v>6</v>
      </c>
      <c r="D4" s="3"/>
      <c r="E4" s="3"/>
      <c r="F4" s="3"/>
      <c r="G4" s="4"/>
    </row>
    <row r="5" customFormat="false" ht="15" hidden="false" customHeight="false" outlineLevel="0" collapsed="false">
      <c r="A5" s="2" t="s">
        <v>7</v>
      </c>
      <c r="B5" s="3" t="n">
        <v>200</v>
      </c>
      <c r="C5" s="3" t="s">
        <v>8</v>
      </c>
      <c r="D5" s="3"/>
      <c r="E5" s="3"/>
      <c r="F5" s="3"/>
      <c r="G5" s="4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4"/>
    </row>
    <row r="7" customFormat="false" ht="15" hidden="false" customHeight="false" outlineLevel="0" collapsed="false">
      <c r="A7" s="6" t="s">
        <v>9</v>
      </c>
      <c r="B7" s="6" t="s">
        <v>10</v>
      </c>
      <c r="C7" s="6" t="s">
        <v>11</v>
      </c>
      <c r="D7" s="6" t="s">
        <v>12</v>
      </c>
      <c r="E7" s="6" t="s">
        <v>13</v>
      </c>
      <c r="F7" s="6" t="s">
        <v>14</v>
      </c>
      <c r="G7" s="6" t="s">
        <v>15</v>
      </c>
    </row>
    <row r="8" customFormat="false" ht="15" hidden="false" customHeight="false" outlineLevel="0" collapsed="false">
      <c r="A8" s="7" t="n">
        <v>50000</v>
      </c>
      <c r="B8" s="7" t="str">
        <f aca="false">IF(B4&gt;G8, "&lt;250", "&gt;250")</f>
        <v>&lt;250</v>
      </c>
      <c r="C8" s="7" t="n">
        <v>1540</v>
      </c>
      <c r="D8" s="8" t="n">
        <f aca="false">A8/C8</f>
        <v>32.4675324675325</v>
      </c>
      <c r="E8" s="7" t="n">
        <v>1534</v>
      </c>
      <c r="F8" s="8" t="n">
        <f aca="false">(C8-E8)*D8</f>
        <v>194.805194805195</v>
      </c>
      <c r="G8" s="9" t="n">
        <f aca="false">F8+50</f>
        <v>244.805194805195</v>
      </c>
    </row>
    <row r="9" customFormat="false" ht="15" hidden="false" customHeight="false" outlineLevel="0" collapsed="false">
      <c r="A9" s="7" t="n">
        <v>19000</v>
      </c>
      <c r="B9" s="7" t="str">
        <f aca="false">IF(B4&gt;G9, "&lt;250", "&gt;250")</f>
        <v>&lt;250</v>
      </c>
      <c r="C9" s="7" t="n">
        <v>200</v>
      </c>
      <c r="D9" s="8" t="n">
        <f aca="false">A9/C9</f>
        <v>95</v>
      </c>
      <c r="E9" s="7" t="n">
        <v>198</v>
      </c>
      <c r="F9" s="8" t="n">
        <f aca="false">(C9-E9)*D9</f>
        <v>190</v>
      </c>
      <c r="G9" s="9" t="n">
        <f aca="false">F9+50</f>
        <v>240</v>
      </c>
    </row>
    <row r="16" customFormat="false" ht="15" hidden="false" customHeight="true" outlineLevel="0" collapsed="false">
      <c r="A16" s="6" t="s">
        <v>11</v>
      </c>
      <c r="B16" s="6" t="s">
        <v>16</v>
      </c>
      <c r="C16" s="6" t="s">
        <v>17</v>
      </c>
      <c r="D16" s="6" t="s">
        <v>18</v>
      </c>
      <c r="E16" s="6" t="s">
        <v>19</v>
      </c>
      <c r="F16" s="6" t="s">
        <v>20</v>
      </c>
      <c r="G16" s="10"/>
    </row>
    <row r="17" customFormat="false" ht="15" hidden="false" customHeight="true" outlineLevel="0" collapsed="false">
      <c r="A17" s="7" t="n">
        <v>4134</v>
      </c>
      <c r="B17" s="7" t="n">
        <v>4118</v>
      </c>
      <c r="C17" s="8" t="n">
        <f aca="false">A17-B17</f>
        <v>16</v>
      </c>
      <c r="D17" s="8" t="n">
        <f aca="false">$B$5</f>
        <v>200</v>
      </c>
      <c r="E17" s="8" t="n">
        <f aca="false">(1/C17)*D17</f>
        <v>12.5</v>
      </c>
      <c r="F17" s="8" t="n">
        <f aca="false">2*C17*E17</f>
        <v>400</v>
      </c>
      <c r="G17" s="11"/>
    </row>
    <row r="18" customFormat="false" ht="15" hidden="false" customHeight="true" outlineLevel="0" collapsed="false">
      <c r="A18" s="7" t="n">
        <v>891</v>
      </c>
      <c r="B18" s="7" t="n">
        <v>886</v>
      </c>
      <c r="C18" s="8" t="n">
        <f aca="false">A18-B18</f>
        <v>5</v>
      </c>
      <c r="D18" s="8" t="n">
        <f aca="false">$B$5</f>
        <v>200</v>
      </c>
      <c r="E18" s="8" t="n">
        <f aca="false">(1/C18)*D18</f>
        <v>40</v>
      </c>
      <c r="F18" s="8" t="n">
        <f aca="false">2*C18*E18</f>
        <v>400</v>
      </c>
      <c r="G18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Q15" activeCellId="0" sqref="Q1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2.66"/>
    <col collapsed="false" customWidth="true" hidden="false" outlineLevel="0" max="7" min="7" style="1" width="13.75"/>
    <col collapsed="false" customWidth="true" hidden="false" outlineLevel="0" max="8" min="8" style="1" width="23.31"/>
    <col collapsed="false" customWidth="true" hidden="false" outlineLevel="0" max="9" min="9" style="1" width="22.66"/>
    <col collapsed="false" customWidth="true" hidden="false" outlineLevel="0" max="10" min="10" style="1" width="24.29"/>
    <col collapsed="false" customWidth="true" hidden="false" outlineLevel="0" max="16" min="16" style="1" width="13.66"/>
    <col collapsed="false" customWidth="true" hidden="false" outlineLevel="0" max="17" min="17" style="1" width="22.33"/>
    <col collapsed="false" customWidth="true" hidden="false" outlineLevel="0" max="19" min="19" style="1" width="24.61"/>
    <col collapsed="false" customWidth="true" hidden="false" outlineLevel="0" max="20" min="20" style="1" width="15.94"/>
  </cols>
  <sheetData>
    <row r="1" customFormat="false" ht="13.8" hidden="false" customHeight="false" outlineLevel="0" collapsed="false">
      <c r="A1" s="12" t="s">
        <v>21</v>
      </c>
      <c r="B1" s="1" t="n">
        <v>200</v>
      </c>
      <c r="C1" s="1" t="n">
        <v>50</v>
      </c>
      <c r="E1" s="13" t="s">
        <v>22</v>
      </c>
      <c r="F1" s="13"/>
      <c r="G1" s="13"/>
      <c r="H1" s="13"/>
      <c r="I1" s="13"/>
      <c r="J1" s="13"/>
      <c r="N1" s="14" t="s">
        <v>23</v>
      </c>
      <c r="O1" s="14"/>
      <c r="P1" s="14"/>
      <c r="Q1" s="14"/>
      <c r="R1" s="14"/>
      <c r="S1" s="14"/>
    </row>
    <row r="2" customFormat="false" ht="13.8" hidden="false" customHeight="false" outlineLevel="0" collapsed="false">
      <c r="B2" s="1"/>
      <c r="C2" s="1"/>
      <c r="E2" s="15"/>
      <c r="F2" s="15"/>
      <c r="G2" s="15"/>
      <c r="H2" s="15"/>
      <c r="I2" s="15"/>
      <c r="J2" s="15"/>
    </row>
    <row r="3" customFormat="false" ht="13.8" hidden="false" customHeight="false" outlineLevel="0" collapsed="false">
      <c r="B3" s="1"/>
      <c r="C3" s="1"/>
      <c r="E3" s="15"/>
      <c r="F3" s="15"/>
      <c r="G3" s="15"/>
      <c r="H3" s="15"/>
      <c r="I3" s="15"/>
      <c r="J3" s="15"/>
    </row>
    <row r="4" customFormat="false" ht="12.65" hidden="false" customHeight="false" outlineLevel="0" collapsed="false">
      <c r="A4" s="16" t="s">
        <v>24</v>
      </c>
      <c r="B4" s="16" t="s">
        <v>25</v>
      </c>
      <c r="C4" s="16" t="s">
        <v>26</v>
      </c>
      <c r="E4" s="17" t="s">
        <v>27</v>
      </c>
      <c r="F4" s="17" t="s">
        <v>28</v>
      </c>
      <c r="G4" s="17" t="s">
        <v>29</v>
      </c>
      <c r="H4" s="17" t="s">
        <v>30</v>
      </c>
      <c r="I4" s="17" t="s">
        <v>31</v>
      </c>
      <c r="J4" s="17" t="s">
        <v>32</v>
      </c>
      <c r="N4" s="17" t="s">
        <v>27</v>
      </c>
      <c r="O4" s="17" t="s">
        <v>28</v>
      </c>
      <c r="P4" s="17" t="s">
        <v>29</v>
      </c>
      <c r="Q4" s="17" t="s">
        <v>30</v>
      </c>
      <c r="R4" s="17" t="s">
        <v>31</v>
      </c>
      <c r="S4" s="17" t="s">
        <v>32</v>
      </c>
      <c r="T4" s="17" t="s">
        <v>33</v>
      </c>
    </row>
    <row r="5" customFormat="false" ht="13.8" hidden="false" customHeight="false" outlineLevel="0" collapsed="false">
      <c r="A5" s="16" t="n">
        <v>25000</v>
      </c>
      <c r="B5" s="16" t="n">
        <v>250</v>
      </c>
      <c r="C5" s="16" t="n">
        <f aca="false">(B5/A5)*100</f>
        <v>1</v>
      </c>
      <c r="E5" s="18" t="n">
        <v>1677</v>
      </c>
      <c r="F5" s="18" t="n">
        <v>1681</v>
      </c>
      <c r="G5" s="19" t="n">
        <f aca="false">F5-E5</f>
        <v>4</v>
      </c>
      <c r="H5" s="19" t="n">
        <f aca="false">B1/G5</f>
        <v>50</v>
      </c>
      <c r="I5" s="19" t="n">
        <f aca="false">H5*E5</f>
        <v>83850</v>
      </c>
      <c r="J5" s="19" t="n">
        <f aca="false">I5/5</f>
        <v>16770</v>
      </c>
      <c r="N5" s="18" t="n">
        <v>390.8</v>
      </c>
      <c r="O5" s="18" t="n">
        <v>389.8</v>
      </c>
      <c r="P5" s="19" t="n">
        <f aca="false">N5-O5</f>
        <v>1</v>
      </c>
      <c r="Q5" s="19" t="n">
        <f aca="false">B1/P5</f>
        <v>200</v>
      </c>
      <c r="R5" s="19" t="n">
        <f aca="false">Q5*N5</f>
        <v>78160</v>
      </c>
      <c r="S5" s="19" t="n">
        <f aca="false">R5/5</f>
        <v>15632</v>
      </c>
      <c r="T5" s="19" t="n">
        <f aca="false">(2*P5)+N5</f>
        <v>392.8</v>
      </c>
    </row>
  </sheetData>
  <mergeCells count="2">
    <mergeCell ref="E1:J1"/>
    <mergeCell ref="N1:S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HIMADRI TANAYA</dc:creator>
  <dc:description/>
  <dc:language>en-IN</dc:language>
  <cp:lastModifiedBy/>
  <dcterms:modified xsi:type="dcterms:W3CDTF">2026-01-01T14:54:03Z</dcterms:modified>
  <cp:revision>89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